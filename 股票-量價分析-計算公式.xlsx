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IYU\泰宇-個人用\"/>
    </mc:Choice>
  </mc:AlternateContent>
  <xr:revisionPtr revIDLastSave="0" documentId="13_ncr:1_{E7233E62-F9C6-41ED-AE90-05A5FB5E75A0}" xr6:coauthVersionLast="47" xr6:coauthVersionMax="47" xr10:uidLastSave="{00000000-0000-0000-0000-000000000000}"/>
  <bookViews>
    <workbookView xWindow="-110" yWindow="-110" windowWidth="38620" windowHeight="21100" activeTab="4" xr2:uid="{2F7E0A25-4039-4004-9414-15B0C34733FE}"/>
  </bookViews>
  <sheets>
    <sheet name="核心感測指標數據" sheetId="1" r:id="rId1"/>
    <sheet name="4533協易機" sheetId="2" r:id="rId2"/>
    <sheet name="3706神達" sheetId="3" r:id="rId3"/>
    <sheet name="6133金橋" sheetId="4" r:id="rId4"/>
    <sheet name="4960誠美材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5" l="1"/>
  <c r="G12" i="5"/>
  <c r="B12" i="5"/>
  <c r="H12" i="5" s="1"/>
  <c r="I11" i="5"/>
  <c r="G11" i="5"/>
  <c r="B11" i="5"/>
  <c r="H11" i="5" s="1"/>
  <c r="I10" i="5"/>
  <c r="G10" i="5"/>
  <c r="B10" i="5"/>
  <c r="H10" i="5" s="1"/>
  <c r="I9" i="5"/>
  <c r="G9" i="5"/>
  <c r="J9" i="5" s="1"/>
  <c r="B9" i="5"/>
  <c r="H9" i="5" s="1"/>
  <c r="I8" i="5"/>
  <c r="G8" i="5"/>
  <c r="B8" i="5"/>
  <c r="H8" i="5" s="1"/>
  <c r="I7" i="5"/>
  <c r="G7" i="5"/>
  <c r="B7" i="5"/>
  <c r="H7" i="5" s="1"/>
  <c r="I6" i="5"/>
  <c r="G6" i="5"/>
  <c r="B6" i="5"/>
  <c r="H6" i="5" s="1"/>
  <c r="I5" i="5"/>
  <c r="G5" i="5"/>
  <c r="B5" i="5"/>
  <c r="H5" i="5" s="1"/>
  <c r="I4" i="5"/>
  <c r="H4" i="5"/>
  <c r="G4" i="5"/>
  <c r="J4" i="5" s="1"/>
  <c r="B4" i="5"/>
  <c r="I3" i="5"/>
  <c r="G3" i="5"/>
  <c r="B3" i="5"/>
  <c r="H3" i="5" s="1"/>
  <c r="I2" i="5"/>
  <c r="H2" i="5"/>
  <c r="G2" i="5"/>
  <c r="I12" i="4"/>
  <c r="G12" i="4"/>
  <c r="B12" i="4"/>
  <c r="H12" i="4" s="1"/>
  <c r="J12" i="4" s="1"/>
  <c r="I11" i="4"/>
  <c r="H11" i="4"/>
  <c r="G11" i="4"/>
  <c r="J11" i="4" s="1"/>
  <c r="B11" i="4"/>
  <c r="I10" i="4"/>
  <c r="G10" i="4"/>
  <c r="B10" i="4"/>
  <c r="H10" i="4" s="1"/>
  <c r="I9" i="4"/>
  <c r="G9" i="4"/>
  <c r="B9" i="4"/>
  <c r="H9" i="4" s="1"/>
  <c r="I8" i="4"/>
  <c r="G8" i="4"/>
  <c r="B8" i="4"/>
  <c r="H8" i="4" s="1"/>
  <c r="J8" i="4" s="1"/>
  <c r="I7" i="4"/>
  <c r="G7" i="4"/>
  <c r="B7" i="4"/>
  <c r="H7" i="4" s="1"/>
  <c r="I6" i="4"/>
  <c r="G6" i="4"/>
  <c r="B6" i="4"/>
  <c r="H6" i="4" s="1"/>
  <c r="I5" i="4"/>
  <c r="G5" i="4"/>
  <c r="B5" i="4"/>
  <c r="H5" i="4" s="1"/>
  <c r="I4" i="4"/>
  <c r="G4" i="4"/>
  <c r="B4" i="4"/>
  <c r="H4" i="4" s="1"/>
  <c r="I3" i="4"/>
  <c r="G3" i="4"/>
  <c r="B3" i="4"/>
  <c r="H3" i="4" s="1"/>
  <c r="I2" i="4"/>
  <c r="H2" i="4"/>
  <c r="G2" i="4"/>
  <c r="B4" i="3"/>
  <c r="B5" i="3"/>
  <c r="B6" i="3"/>
  <c r="B7" i="3"/>
  <c r="H7" i="3" s="1"/>
  <c r="B8" i="3"/>
  <c r="H8" i="3" s="1"/>
  <c r="B9" i="3"/>
  <c r="B10" i="3"/>
  <c r="B11" i="3"/>
  <c r="B12" i="3"/>
  <c r="B3" i="3"/>
  <c r="I12" i="3"/>
  <c r="H12" i="3"/>
  <c r="G12" i="3"/>
  <c r="J12" i="3" s="1"/>
  <c r="I11" i="3"/>
  <c r="G11" i="3"/>
  <c r="H11" i="3"/>
  <c r="I10" i="3"/>
  <c r="G10" i="3"/>
  <c r="H10" i="3"/>
  <c r="I9" i="3"/>
  <c r="G9" i="3"/>
  <c r="H9" i="3"/>
  <c r="I8" i="3"/>
  <c r="G8" i="3"/>
  <c r="I7" i="3"/>
  <c r="G7" i="3"/>
  <c r="I6" i="3"/>
  <c r="G6" i="3"/>
  <c r="H6" i="3"/>
  <c r="I5" i="3"/>
  <c r="G5" i="3"/>
  <c r="H5" i="3"/>
  <c r="I4" i="3"/>
  <c r="G4" i="3"/>
  <c r="H4" i="3"/>
  <c r="I3" i="3"/>
  <c r="H3" i="3"/>
  <c r="G3" i="3"/>
  <c r="I2" i="3"/>
  <c r="H2" i="3"/>
  <c r="G2" i="3"/>
  <c r="J3" i="2"/>
  <c r="J4" i="2"/>
  <c r="J5" i="2"/>
  <c r="J6" i="2"/>
  <c r="J9" i="2"/>
  <c r="J10" i="2"/>
  <c r="J11" i="2"/>
  <c r="J12" i="2"/>
  <c r="J2" i="2"/>
  <c r="G3" i="2"/>
  <c r="G4" i="2"/>
  <c r="G5" i="2"/>
  <c r="G6" i="2"/>
  <c r="G7" i="2"/>
  <c r="G8" i="2"/>
  <c r="G9" i="2"/>
  <c r="G10" i="2"/>
  <c r="G11" i="2"/>
  <c r="G12" i="2"/>
  <c r="G2" i="2"/>
  <c r="B4" i="2"/>
  <c r="H4" i="2" s="1"/>
  <c r="B5" i="2"/>
  <c r="H5" i="2" s="1"/>
  <c r="B6" i="2"/>
  <c r="H6" i="2" s="1"/>
  <c r="B7" i="2"/>
  <c r="H7" i="2" s="1"/>
  <c r="B8" i="2"/>
  <c r="H8" i="2" s="1"/>
  <c r="J8" i="2" s="1"/>
  <c r="B9" i="2"/>
  <c r="H9" i="2" s="1"/>
  <c r="B10" i="2"/>
  <c r="H10" i="2" s="1"/>
  <c r="B11" i="2"/>
  <c r="H11" i="2" s="1"/>
  <c r="B3" i="2"/>
  <c r="H3" i="2" s="1"/>
  <c r="I3" i="2"/>
  <c r="I4" i="2"/>
  <c r="I5" i="2"/>
  <c r="I6" i="2"/>
  <c r="I7" i="2"/>
  <c r="I8" i="2"/>
  <c r="I9" i="2"/>
  <c r="I10" i="2"/>
  <c r="I11" i="2"/>
  <c r="H12" i="2"/>
  <c r="I12" i="2"/>
  <c r="I2" i="2"/>
  <c r="H2" i="2"/>
  <c r="B12" i="1"/>
  <c r="B11" i="1"/>
  <c r="B10" i="1"/>
  <c r="B8" i="1"/>
  <c r="J8" i="5" l="1"/>
  <c r="J7" i="2"/>
  <c r="J5" i="5"/>
  <c r="J3" i="5"/>
  <c r="J2" i="5"/>
  <c r="J6" i="5"/>
  <c r="J7" i="5"/>
  <c r="J10" i="5"/>
  <c r="J11" i="5"/>
  <c r="J12" i="5"/>
  <c r="J3" i="4"/>
  <c r="J2" i="4"/>
  <c r="J9" i="4"/>
  <c r="J6" i="4"/>
  <c r="J7" i="4"/>
  <c r="J4" i="4"/>
  <c r="J10" i="4"/>
  <c r="J5" i="4"/>
  <c r="J3" i="3"/>
  <c r="J2" i="3"/>
  <c r="J5" i="3"/>
  <c r="J7" i="3"/>
  <c r="J8" i="3"/>
  <c r="J9" i="3"/>
  <c r="J10" i="3"/>
  <c r="J11" i="3"/>
  <c r="J6" i="3"/>
  <c r="J4" i="3"/>
</calcChain>
</file>

<file path=xl/sharedStrings.xml><?xml version="1.0" encoding="utf-8"?>
<sst xmlns="http://schemas.openxmlformats.org/spreadsheetml/2006/main" count="83" uniqueCount="41">
  <si>
    <t>張</t>
    <phoneticPr fontId="2" type="noConversion"/>
  </si>
  <si>
    <t>元</t>
    <phoneticPr fontId="2" type="noConversion"/>
  </si>
  <si>
    <t>收盤價：</t>
    <phoneticPr fontId="2" type="noConversion"/>
  </si>
  <si>
    <t>成交量：</t>
    <phoneticPr fontId="2" type="noConversion"/>
  </si>
  <si>
    <t>日期：</t>
    <phoneticPr fontId="2" type="noConversion"/>
  </si>
  <si>
    <t>當日高低差：</t>
    <phoneticPr fontId="2" type="noConversion"/>
  </si>
  <si>
    <t>x</t>
    <phoneticPr fontId="2" type="noConversion"/>
  </si>
  <si>
    <t>&lt;0.15為極低量；&gt;1.5為異動</t>
    <phoneticPr fontId="2" type="noConversion"/>
  </si>
  <si>
    <t>結果位移：</t>
    <phoneticPr fontId="2" type="noConversion"/>
  </si>
  <si>
    <t>努力倍率：</t>
    <phoneticPr fontId="2" type="noConversion"/>
  </si>
  <si>
    <t>&lt;1.5%為緊縮穩定；&gt;3%為波動異常</t>
    <phoneticPr fontId="2" type="noConversion"/>
  </si>
  <si>
    <t>意圖分數：</t>
    <phoneticPr fontId="2" type="noConversion"/>
  </si>
  <si>
    <t>&gt;70%為大鱷護盤；&lt;30%為市場棄守</t>
    <phoneticPr fontId="2" type="noConversion"/>
  </si>
  <si>
    <t>系統診斷結果 (一眼看穿)</t>
  </si>
  <si>
    <r>
      <t xml:space="preserve">🟢 </t>
    </r>
    <r>
      <rPr>
        <b/>
        <sz val="12"/>
        <color theme="1"/>
        <rFont val="微軟正黑體"/>
        <family val="2"/>
        <charset val="136"/>
      </rPr>
      <t>完美地基</t>
    </r>
    <r>
      <rPr>
        <sz val="12"/>
        <color theme="1"/>
        <rFont val="微軟正黑體"/>
        <family val="2"/>
        <charset val="136"/>
      </rPr>
      <t>：量 &lt; 0.15x 且 波動 &lt; 1.5% 且 意圖 &gt; 70%</t>
    </r>
  </si>
  <si>
    <t>解析：大鱷鎖碼，準備開車。</t>
  </si>
  <si>
    <r>
      <t xml:space="preserve">🟡 </t>
    </r>
    <r>
      <rPr>
        <b/>
        <sz val="12"/>
        <color theme="1"/>
        <rFont val="微軟正黑體"/>
        <family val="2"/>
        <charset val="136"/>
      </rPr>
      <t>安靜累積</t>
    </r>
    <r>
      <rPr>
        <sz val="12"/>
        <color theme="1"/>
        <rFont val="微軟正黑體"/>
        <family val="2"/>
        <charset val="136"/>
      </rPr>
      <t>：量 0.2~0.5x 且 波動 &lt; 2% 且 意圖 &gt; 50%</t>
    </r>
  </si>
  <si>
    <t>解析：大鱷偷偷吃貨，耐心等待。</t>
  </si>
  <si>
    <r>
      <t xml:space="preserve">🔴 </t>
    </r>
    <r>
      <rPr>
        <b/>
        <sz val="12"/>
        <color theme="1"/>
        <rFont val="微軟正黑體"/>
        <family val="2"/>
        <charset val="136"/>
      </rPr>
      <t>結構崩塌</t>
    </r>
    <r>
      <rPr>
        <sz val="12"/>
        <color theme="1"/>
        <rFont val="微軟正黑體"/>
        <family val="2"/>
        <charset val="136"/>
      </rPr>
      <t>：量 &lt; 0.2x 且 波動 &gt; 3% 且 意圖 &lt; 30%</t>
    </r>
  </si>
  <si>
    <t>解析：地基中空，隨時破位，撤離觀望！</t>
  </si>
  <si>
    <t>每日大鱷足跡追蹤</t>
    <phoneticPr fontId="2" type="noConversion"/>
  </si>
  <si>
    <t>開盤價：</t>
    <phoneticPr fontId="2" type="noConversion"/>
  </si>
  <si>
    <t>最高價：</t>
    <phoneticPr fontId="2" type="noConversion"/>
  </si>
  <si>
    <t>最低價：</t>
    <phoneticPr fontId="2" type="noConversion"/>
  </si>
  <si>
    <t>自動化邏輯運算</t>
    <phoneticPr fontId="2" type="noConversion"/>
  </si>
  <si>
    <t>50日均線：</t>
    <phoneticPr fontId="2" type="noConversion"/>
  </si>
  <si>
    <t>昨日收盤價：</t>
    <phoneticPr fontId="2" type="noConversion"/>
  </si>
  <si>
    <t>核心感測指標數值</t>
    <phoneticPr fontId="2" type="noConversion"/>
  </si>
  <si>
    <t>日期</t>
  </si>
  <si>
    <t>昨收價</t>
  </si>
  <si>
    <t>最高價</t>
  </si>
  <si>
    <t>最低價</t>
  </si>
  <si>
    <t>收盤價</t>
  </si>
  <si>
    <t>成交量</t>
  </si>
  <si>
    <t>狀態</t>
    <phoneticPr fontId="2" type="noConversion"/>
  </si>
  <si>
    <t>價格位移
(Spread %)</t>
    <phoneticPr fontId="2" type="noConversion"/>
  </si>
  <si>
    <t>努力倍率
(Vol Ratio)</t>
    <phoneticPr fontId="2" type="noConversion"/>
  </si>
  <si>
    <t>意圖分數
(Close Pos %)</t>
    <phoneticPr fontId="2" type="noConversion"/>
  </si>
  <si>
    <r>
      <t>50</t>
    </r>
    <r>
      <rPr>
        <b/>
        <sz val="12"/>
        <color rgb="FF1F1F1F"/>
        <rFont val="細明體"/>
        <family val="2"/>
        <charset val="136"/>
      </rPr>
      <t>日均線
成交量</t>
    </r>
    <phoneticPr fontId="2" type="noConversion"/>
  </si>
  <si>
    <t>盤後備註</t>
    <phoneticPr fontId="2" type="noConversion"/>
  </si>
  <si>
    <r>
      <t xml:space="preserve">「【31.45 潛伏單進場】大盤暴跌 </t>
    </r>
    <r>
      <rPr>
        <sz val="12"/>
        <color theme="1"/>
        <rFont val="Arial"/>
        <family val="2"/>
      </rPr>
      <t>$1489$</t>
    </r>
    <r>
      <rPr>
        <sz val="12"/>
        <color theme="1"/>
        <rFont val="微軟正黑體"/>
        <family val="2"/>
        <charset val="136"/>
      </rPr>
      <t xml:space="preserve"> 點極端測試。早盤觸及 </t>
    </r>
    <r>
      <rPr>
        <sz val="12"/>
        <color theme="1"/>
        <rFont val="Arial"/>
        <family val="2"/>
      </rPr>
      <t>$31.35$</t>
    </r>
    <r>
      <rPr>
        <sz val="12"/>
        <color theme="1"/>
        <rFont val="微軟正黑體"/>
        <family val="2"/>
        <charset val="136"/>
      </rPr>
      <t xml:space="preserve"> 誘發恐慌，尾盤強勢拉回 </t>
    </r>
    <r>
      <rPr>
        <sz val="12"/>
        <color theme="1"/>
        <rFont val="Arial"/>
        <family val="2"/>
      </rPr>
      <t>$32.0$</t>
    </r>
    <r>
      <rPr>
        <sz val="12"/>
        <color theme="1"/>
        <rFont val="微軟正黑體"/>
        <family val="2"/>
        <charset val="136"/>
      </rPr>
      <t xml:space="preserve">。量能僅 </t>
    </r>
    <r>
      <rPr>
        <sz val="12"/>
        <color theme="1"/>
        <rFont val="Arial"/>
        <family val="2"/>
      </rPr>
      <t>$4843$</t>
    </r>
    <r>
      <rPr>
        <sz val="12"/>
        <color theme="1"/>
        <rFont val="微軟正黑體"/>
        <family val="2"/>
        <charset val="136"/>
      </rPr>
      <t xml:space="preserve"> 張 (</t>
    </r>
    <r>
      <rPr>
        <sz val="12"/>
        <color theme="1"/>
        <rFont val="Arial"/>
        <family val="2"/>
      </rPr>
      <t>$0.49x$</t>
    </r>
    <r>
      <rPr>
        <sz val="12"/>
        <color theme="1"/>
        <rFont val="微軟正黑體"/>
        <family val="2"/>
        <charset val="136"/>
      </rPr>
      <t xml:space="preserve">) 呈現極致供應枯竭。日 K 留長下影線，初步判定
為大鱷之『終極洗盤』，暫守 </t>
    </r>
    <r>
      <rPr>
        <sz val="12"/>
        <color theme="1"/>
        <rFont val="Arial"/>
        <family val="2"/>
      </rPr>
      <t>$31.0$</t>
    </r>
    <r>
      <rPr>
        <sz val="12"/>
        <color theme="1"/>
        <rFont val="微軟正黑體"/>
        <family val="2"/>
        <charset val="136"/>
      </rPr>
      <t xml:space="preserve"> 底線觀察。」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</si>
</sst>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76" formatCode="yyyy/mm/dd"/>
    <numFmt numFmtId="177" formatCode="#,##0_);[Red]\(#,##0\)"/>
    <numFmt numFmtId="178" formatCode="#,##0_ "/>
    <numFmt numFmtId="179" formatCode="&quot;$&quot;#,##0.00_);[Red]\(&quot;$&quot;#,##0.00\)"/>
  </numFmts>
  <fonts count="8" x14ac:knownFonts="1"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3.5"/>
      <color theme="1"/>
      <name val="微軟正黑體"/>
      <family val="2"/>
      <charset val="136"/>
    </font>
    <font>
      <i/>
      <sz val="12"/>
      <color theme="1"/>
      <name val="微軟正黑體"/>
      <family val="2"/>
      <charset val="136"/>
    </font>
    <font>
      <b/>
      <sz val="12"/>
      <color rgb="FF1F1F1F"/>
      <name val="Arial"/>
      <family val="2"/>
    </font>
    <font>
      <b/>
      <sz val="12"/>
      <color rgb="FF1F1F1F"/>
      <name val="細明體"/>
      <family val="2"/>
      <charset val="136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44" fontId="0" fillId="0" borderId="1" xfId="0" applyNumberFormat="1" applyBorder="1">
      <alignment vertical="center"/>
    </xf>
    <xf numFmtId="0" fontId="0" fillId="0" borderId="8" xfId="0" applyBorder="1" applyAlignment="1">
      <alignment horizontal="right" vertical="center"/>
    </xf>
    <xf numFmtId="2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178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0" fillId="0" borderId="15" xfId="0" applyBorder="1">
      <alignment vertical="center"/>
    </xf>
    <xf numFmtId="179" fontId="0" fillId="0" borderId="1" xfId="0" applyNumberFormat="1" applyBorder="1">
      <alignment vertical="center"/>
    </xf>
    <xf numFmtId="179" fontId="0" fillId="0" borderId="15" xfId="0" applyNumberFormat="1" applyBorder="1">
      <alignment vertical="center"/>
    </xf>
    <xf numFmtId="178" fontId="0" fillId="0" borderId="15" xfId="0" applyNumberFormat="1" applyBorder="1">
      <alignment vertical="center"/>
    </xf>
    <xf numFmtId="10" fontId="0" fillId="0" borderId="15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2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6" fontId="0" fillId="0" borderId="8" xfId="0" applyNumberFormat="1" applyBorder="1" applyAlignment="1">
      <alignment horizontal="left" vertical="center"/>
    </xf>
    <xf numFmtId="176" fontId="0" fillId="0" borderId="9" xfId="0" applyNumberFormat="1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4" fontId="0" fillId="0" borderId="13" xfId="0" applyNumberFormat="1" applyBorder="1">
      <alignment vertical="center"/>
    </xf>
    <xf numFmtId="14" fontId="0" fillId="0" borderId="14" xfId="0" applyNumberFormat="1" applyBorder="1">
      <alignment vertical="center"/>
    </xf>
    <xf numFmtId="14" fontId="0" fillId="0" borderId="16" xfId="0" applyNumberFormat="1" applyBorder="1">
      <alignment vertical="center"/>
    </xf>
    <xf numFmtId="179" fontId="0" fillId="0" borderId="12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0" fillId="0" borderId="12" xfId="0" applyBorder="1">
      <alignment vertical="center"/>
    </xf>
    <xf numFmtId="10" fontId="0" fillId="0" borderId="12" xfId="0" applyNumberFormat="1" applyBorder="1">
      <alignment vertical="center"/>
    </xf>
    <xf numFmtId="0" fontId="5" fillId="0" borderId="17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178" fontId="0" fillId="0" borderId="5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20" xfId="0" applyNumberForma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vertical="center" wrapText="1"/>
    </xf>
    <xf numFmtId="0" fontId="0" fillId="0" borderId="23" xfId="0" applyBorder="1">
      <alignment vertical="center"/>
    </xf>
  </cellXfs>
  <cellStyles count="1">
    <cellStyle name="一般" xfId="0" builtinId="0"/>
  </cellStyles>
  <dxfs count="33"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437D-4483-469D-9C0A-F032FD9C7F0E}">
  <dimension ref="A1:G19"/>
  <sheetViews>
    <sheetView workbookViewId="0">
      <selection activeCell="B8" sqref="B8"/>
    </sheetView>
  </sheetViews>
  <sheetFormatPr defaultRowHeight="15.5" x14ac:dyDescent="0.35"/>
  <cols>
    <col min="1" max="1" width="11.5703125" bestFit="1" customWidth="1"/>
    <col min="2" max="2" width="10.640625" bestFit="1" customWidth="1"/>
    <col min="3" max="3" width="2.85546875" bestFit="1" customWidth="1"/>
    <col min="4" max="4" width="10" bestFit="1" customWidth="1"/>
    <col min="6" max="6" width="2.85546875" bestFit="1" customWidth="1"/>
  </cols>
  <sheetData>
    <row r="1" spans="1:7" x14ac:dyDescent="0.35">
      <c r="A1" s="15" t="s">
        <v>20</v>
      </c>
      <c r="B1" s="15"/>
      <c r="C1" s="15"/>
      <c r="D1" s="15"/>
      <c r="E1" s="15"/>
      <c r="F1" s="15"/>
      <c r="G1" s="15"/>
    </row>
    <row r="2" spans="1:7" x14ac:dyDescent="0.35">
      <c r="A2" s="1" t="s">
        <v>4</v>
      </c>
      <c r="B2" s="29">
        <v>46087</v>
      </c>
      <c r="C2" s="30"/>
      <c r="D2" s="30"/>
      <c r="E2" s="30"/>
      <c r="F2" s="30"/>
      <c r="G2" s="31"/>
    </row>
    <row r="3" spans="1:7" x14ac:dyDescent="0.35">
      <c r="A3" s="15" t="s">
        <v>27</v>
      </c>
      <c r="B3" s="15"/>
      <c r="C3" s="15"/>
      <c r="D3" s="15"/>
      <c r="E3" s="15"/>
      <c r="F3" s="15"/>
      <c r="G3" s="15"/>
    </row>
    <row r="4" spans="1:7" x14ac:dyDescent="0.35">
      <c r="A4" s="1" t="s">
        <v>3</v>
      </c>
      <c r="B4" s="3">
        <v>9790</v>
      </c>
      <c r="C4" s="2" t="s">
        <v>0</v>
      </c>
      <c r="D4" s="1" t="s">
        <v>25</v>
      </c>
      <c r="E4" s="3">
        <v>9780</v>
      </c>
      <c r="F4" s="2" t="s">
        <v>0</v>
      </c>
      <c r="G4" s="2"/>
    </row>
    <row r="5" spans="1:7" x14ac:dyDescent="0.35">
      <c r="A5" s="1" t="s">
        <v>21</v>
      </c>
      <c r="B5" s="4">
        <v>35.1</v>
      </c>
      <c r="C5" s="2" t="s">
        <v>1</v>
      </c>
      <c r="D5" s="1" t="s">
        <v>22</v>
      </c>
      <c r="E5" s="4">
        <v>36.15</v>
      </c>
      <c r="F5" s="2" t="s">
        <v>1</v>
      </c>
      <c r="G5" s="2"/>
    </row>
    <row r="6" spans="1:7" x14ac:dyDescent="0.35">
      <c r="A6" s="1" t="s">
        <v>23</v>
      </c>
      <c r="B6" s="4">
        <v>33.799999999999997</v>
      </c>
      <c r="C6" s="2" t="s">
        <v>1</v>
      </c>
      <c r="D6" s="1" t="s">
        <v>2</v>
      </c>
      <c r="E6" s="4">
        <v>34.799999999999997</v>
      </c>
      <c r="F6" s="2" t="s">
        <v>1</v>
      </c>
      <c r="G6" s="2"/>
    </row>
    <row r="7" spans="1:7" x14ac:dyDescent="0.35">
      <c r="A7" s="1" t="s">
        <v>26</v>
      </c>
      <c r="B7" s="4">
        <v>35.65</v>
      </c>
      <c r="C7" s="2" t="s">
        <v>1</v>
      </c>
      <c r="D7" s="19"/>
      <c r="E7" s="20"/>
      <c r="F7" s="20"/>
      <c r="G7" s="21"/>
    </row>
    <row r="8" spans="1:7" x14ac:dyDescent="0.35">
      <c r="A8" s="1" t="s">
        <v>5</v>
      </c>
      <c r="B8" s="4">
        <f>E5-B6</f>
        <v>2.3500000000000014</v>
      </c>
      <c r="C8" s="2" t="s">
        <v>1</v>
      </c>
      <c r="D8" s="22"/>
      <c r="E8" s="23"/>
      <c r="F8" s="23"/>
      <c r="G8" s="24"/>
    </row>
    <row r="9" spans="1:7" x14ac:dyDescent="0.35">
      <c r="A9" s="15" t="s">
        <v>24</v>
      </c>
      <c r="B9" s="16"/>
      <c r="C9" s="16"/>
      <c r="D9" s="15"/>
      <c r="E9" s="15"/>
      <c r="F9" s="15"/>
      <c r="G9" s="15"/>
    </row>
    <row r="10" spans="1:7" x14ac:dyDescent="0.35">
      <c r="A10" s="5" t="s">
        <v>9</v>
      </c>
      <c r="B10" s="6">
        <f>B4/E4</f>
        <v>1.0010224948875255</v>
      </c>
      <c r="C10" s="7" t="s">
        <v>6</v>
      </c>
      <c r="D10" s="37" t="s">
        <v>7</v>
      </c>
      <c r="E10" s="25"/>
      <c r="F10" s="25"/>
      <c r="G10" s="25"/>
    </row>
    <row r="11" spans="1:7" x14ac:dyDescent="0.35">
      <c r="A11" s="1" t="s">
        <v>8</v>
      </c>
      <c r="B11" s="17">
        <f>((E5-B6)/B7)*100%</f>
        <v>6.5918653576437627E-2</v>
      </c>
      <c r="C11" s="17"/>
      <c r="D11" s="25" t="s">
        <v>10</v>
      </c>
      <c r="E11" s="25"/>
      <c r="F11" s="25"/>
      <c r="G11" s="25"/>
    </row>
    <row r="12" spans="1:7" x14ac:dyDescent="0.35">
      <c r="A12" s="1" t="s">
        <v>11</v>
      </c>
      <c r="B12" s="18">
        <f>((E6-B6)/(E5-B6))*100%</f>
        <v>0.42553191489361675</v>
      </c>
      <c r="C12" s="18"/>
      <c r="D12" s="25" t="s">
        <v>12</v>
      </c>
      <c r="E12" s="25"/>
      <c r="F12" s="25"/>
      <c r="G12" s="25"/>
    </row>
    <row r="13" spans="1:7" ht="18" x14ac:dyDescent="0.35">
      <c r="A13" s="32" t="s">
        <v>13</v>
      </c>
      <c r="B13" s="33"/>
      <c r="C13" s="33"/>
      <c r="D13" s="33"/>
      <c r="E13" s="33"/>
      <c r="F13" s="33"/>
      <c r="G13" s="34"/>
    </row>
    <row r="14" spans="1:7" ht="16" x14ac:dyDescent="0.35">
      <c r="A14" s="35" t="s">
        <v>14</v>
      </c>
      <c r="B14" s="36"/>
      <c r="C14" s="36"/>
      <c r="D14" s="36"/>
      <c r="E14" s="36"/>
      <c r="F14" s="36"/>
      <c r="G14" s="37"/>
    </row>
    <row r="15" spans="1:7" x14ac:dyDescent="0.35">
      <c r="A15" s="26" t="s">
        <v>15</v>
      </c>
      <c r="B15" s="27"/>
      <c r="C15" s="27"/>
      <c r="D15" s="27"/>
      <c r="E15" s="27"/>
      <c r="F15" s="27"/>
      <c r="G15" s="28"/>
    </row>
    <row r="16" spans="1:7" ht="16" x14ac:dyDescent="0.35">
      <c r="A16" s="35" t="s">
        <v>16</v>
      </c>
      <c r="B16" s="36"/>
      <c r="C16" s="36"/>
      <c r="D16" s="36"/>
      <c r="E16" s="36"/>
      <c r="F16" s="36"/>
      <c r="G16" s="37"/>
    </row>
    <row r="17" spans="1:7" x14ac:dyDescent="0.35">
      <c r="A17" s="26" t="s">
        <v>17</v>
      </c>
      <c r="B17" s="27"/>
      <c r="C17" s="27"/>
      <c r="D17" s="27"/>
      <c r="E17" s="27"/>
      <c r="F17" s="27"/>
      <c r="G17" s="28"/>
    </row>
    <row r="18" spans="1:7" ht="16" x14ac:dyDescent="0.35">
      <c r="A18" s="35" t="s">
        <v>18</v>
      </c>
      <c r="B18" s="36"/>
      <c r="C18" s="36"/>
      <c r="D18" s="36"/>
      <c r="E18" s="36"/>
      <c r="F18" s="36"/>
      <c r="G18" s="37"/>
    </row>
    <row r="19" spans="1:7" x14ac:dyDescent="0.35">
      <c r="A19" s="26" t="s">
        <v>19</v>
      </c>
      <c r="B19" s="27"/>
      <c r="C19" s="27"/>
      <c r="D19" s="27"/>
      <c r="E19" s="27"/>
      <c r="F19" s="27"/>
      <c r="G19" s="28"/>
    </row>
  </sheetData>
  <mergeCells count="17">
    <mergeCell ref="A19:G19"/>
    <mergeCell ref="B2:G2"/>
    <mergeCell ref="A13:G13"/>
    <mergeCell ref="A14:G14"/>
    <mergeCell ref="A15:G15"/>
    <mergeCell ref="A16:G16"/>
    <mergeCell ref="A17:G17"/>
    <mergeCell ref="A18:G18"/>
    <mergeCell ref="D12:G12"/>
    <mergeCell ref="D10:G10"/>
    <mergeCell ref="A1:G1"/>
    <mergeCell ref="A9:G9"/>
    <mergeCell ref="B11:C11"/>
    <mergeCell ref="B12:C12"/>
    <mergeCell ref="A3:G3"/>
    <mergeCell ref="D7:G8"/>
    <mergeCell ref="D11:G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B8C5-5DEA-40AC-823E-867F201660F6}">
  <dimension ref="A1:L12"/>
  <sheetViews>
    <sheetView workbookViewId="0">
      <selection activeCell="L28" sqref="L28"/>
    </sheetView>
  </sheetViews>
  <sheetFormatPr defaultRowHeight="15.5" x14ac:dyDescent="0.35"/>
  <cols>
    <col min="1" max="1" width="8.5703125" bestFit="1" customWidth="1"/>
    <col min="2" max="5" width="7.140625" bestFit="1" customWidth="1"/>
    <col min="6" max="6" width="7" bestFit="1" customWidth="1"/>
    <col min="7" max="7" width="12.28515625" bestFit="1" customWidth="1"/>
    <col min="8" max="8" width="9.92578125" bestFit="1" customWidth="1"/>
    <col min="9" max="9" width="12.0703125" bestFit="1" customWidth="1"/>
    <col min="10" max="10" width="37.28515625" bestFit="1" customWidth="1"/>
    <col min="11" max="11" width="8.35546875" bestFit="1" customWidth="1"/>
    <col min="12" max="12" width="141.140625" customWidth="1"/>
  </cols>
  <sheetData>
    <row r="1" spans="1:12" ht="34.5" thickBot="1" x14ac:dyDescent="0.4">
      <c r="A1" s="45" t="s">
        <v>28</v>
      </c>
      <c r="B1" s="46" t="s">
        <v>29</v>
      </c>
      <c r="C1" s="46" t="s">
        <v>30</v>
      </c>
      <c r="D1" s="46" t="s">
        <v>31</v>
      </c>
      <c r="E1" s="46" t="s">
        <v>32</v>
      </c>
      <c r="F1" s="46" t="s">
        <v>33</v>
      </c>
      <c r="G1" s="47" t="s">
        <v>36</v>
      </c>
      <c r="H1" s="47" t="s">
        <v>35</v>
      </c>
      <c r="I1" s="47" t="s">
        <v>37</v>
      </c>
      <c r="J1" s="48" t="s">
        <v>34</v>
      </c>
      <c r="K1" s="46" t="s">
        <v>38</v>
      </c>
      <c r="L1" s="49" t="s">
        <v>39</v>
      </c>
    </row>
    <row r="2" spans="1:12" x14ac:dyDescent="0.35">
      <c r="A2" s="40">
        <v>46083</v>
      </c>
      <c r="B2" s="41">
        <v>32.950000000000003</v>
      </c>
      <c r="C2" s="41">
        <v>32.75</v>
      </c>
      <c r="D2" s="41">
        <v>31.25</v>
      </c>
      <c r="E2" s="41">
        <v>32</v>
      </c>
      <c r="F2" s="42">
        <v>2090</v>
      </c>
      <c r="G2" s="43">
        <f t="shared" ref="G2:G12" si="0">F2/K2</f>
        <v>0.28016085790884721</v>
      </c>
      <c r="H2" s="44">
        <f>(C2-D2)/B2</f>
        <v>4.5523520485584217E-2</v>
      </c>
      <c r="I2" s="44">
        <f>IF((C2-D2)=0,0.5,(E2-D2)/(C2-D2))</f>
        <v>0.5</v>
      </c>
      <c r="J2" s="43" t="str">
        <f>IF(AND(G2&gt;1, H2&gt;0.03, I2&gt;0.7), "🚀 【買入/追擊】大鱷表態，補齊第 2 張單！",
 IF(AND(G2&lt;0.15, H2&lt;0.015, I2&gt;0.7), "🟢 【買入/潛伏】完美地基，首單 1 張進場。",
 IF(AND(G2&lt;0.5, H2&lt;0.02, I2&gt;0.5), "🟡 【持股/監控】安靜累積，耐心等待訊號。",
 IF(AND(G2&lt;0.2, H2&gt;0.03, I2&lt;0.3), "🔴 【撤離/止損】結構崩塌，全數出清！",
 "⚪ 【觀望】多空拉鋸，結構調整中"))))</f>
        <v>⚪ 【觀望】多空拉鋸，結構調整中</v>
      </c>
      <c r="K2" s="50">
        <v>7460</v>
      </c>
      <c r="L2" s="53"/>
    </row>
    <row r="3" spans="1:12" x14ac:dyDescent="0.35">
      <c r="A3" s="38">
        <v>46084</v>
      </c>
      <c r="B3" s="11">
        <f>E2</f>
        <v>32</v>
      </c>
      <c r="C3" s="11">
        <v>35.200000000000003</v>
      </c>
      <c r="D3" s="11">
        <v>32</v>
      </c>
      <c r="E3" s="11">
        <v>35.200000000000003</v>
      </c>
      <c r="F3" s="8">
        <v>13280</v>
      </c>
      <c r="G3" s="2">
        <f t="shared" si="0"/>
        <v>1.7246753246753246</v>
      </c>
      <c r="H3" s="9">
        <f t="shared" ref="H3:H12" si="1">(C3-D3)/B3</f>
        <v>0.10000000000000009</v>
      </c>
      <c r="I3" s="9">
        <f t="shared" ref="I3:I12" si="2">IF((C3-D3)=0,0.5,(E3-D3)/(C3-D3))</f>
        <v>1</v>
      </c>
      <c r="J3" s="2" t="str">
        <f t="shared" ref="J3:J12" si="3">IF(AND(G3&gt;1, H3&gt;0.03, I3&gt;0.7), "🚀 【買入/追擊】大鱷表態，補齊第 2 張單！",
 IF(AND(G3&lt;0.15, H3&lt;0.015, I3&gt;0.7), "🟢 【買入/潛伏】完美地基，首單 1 張進場。",
 IF(AND(G3&lt;0.5, H3&lt;0.02, I3&gt;0.5), "🟡 【持股/監控】安靜累積，耐心等待訊號。",
 IF(AND(G3&lt;0.2, H3&gt;0.03, I3&lt;0.3), "🔴 【撤離/止損】結構崩塌，全數出清！",
 "⚪ 【觀望】多空拉鋸，結構調整中"))))</f>
        <v>🚀 【買入/追擊】大鱷表態，補齊第 2 張單！</v>
      </c>
      <c r="K3" s="51">
        <v>7700</v>
      </c>
      <c r="L3" s="54"/>
    </row>
    <row r="4" spans="1:12" x14ac:dyDescent="0.35">
      <c r="A4" s="38">
        <v>46085</v>
      </c>
      <c r="B4" s="11">
        <f t="shared" ref="B4:B11" si="4">E3</f>
        <v>35.200000000000003</v>
      </c>
      <c r="C4" s="11">
        <v>38.700000000000003</v>
      </c>
      <c r="D4" s="11">
        <v>36.299999999999997</v>
      </c>
      <c r="E4" s="11">
        <v>37.75</v>
      </c>
      <c r="F4" s="8">
        <v>43260</v>
      </c>
      <c r="G4" s="2">
        <f t="shared" si="0"/>
        <v>5.0715123094958967</v>
      </c>
      <c r="H4" s="9">
        <f t="shared" si="1"/>
        <v>6.8181818181818343E-2</v>
      </c>
      <c r="I4" s="9">
        <f t="shared" si="2"/>
        <v>0.60416666666666641</v>
      </c>
      <c r="J4" s="2" t="str">
        <f t="shared" si="3"/>
        <v>⚪ 【觀望】多空拉鋸，結構調整中</v>
      </c>
      <c r="K4" s="51">
        <v>8530</v>
      </c>
      <c r="L4" s="54"/>
    </row>
    <row r="5" spans="1:12" x14ac:dyDescent="0.35">
      <c r="A5" s="38">
        <v>46086</v>
      </c>
      <c r="B5" s="11">
        <f t="shared" si="4"/>
        <v>37.75</v>
      </c>
      <c r="C5" s="11">
        <v>40.9</v>
      </c>
      <c r="D5" s="11">
        <v>35.549999999999997</v>
      </c>
      <c r="E5" s="11">
        <v>35.65</v>
      </c>
      <c r="F5" s="8">
        <v>53920</v>
      </c>
      <c r="G5" s="2">
        <f t="shared" si="0"/>
        <v>5.6166666666666663</v>
      </c>
      <c r="H5" s="9">
        <f t="shared" si="1"/>
        <v>0.1417218543046358</v>
      </c>
      <c r="I5" s="9">
        <f t="shared" si="2"/>
        <v>1.8691588785046991E-2</v>
      </c>
      <c r="J5" s="2" t="str">
        <f t="shared" si="3"/>
        <v>⚪ 【觀望】多空拉鋸，結構調整中</v>
      </c>
      <c r="K5" s="51">
        <v>9600</v>
      </c>
      <c r="L5" s="54"/>
    </row>
    <row r="6" spans="1:12" x14ac:dyDescent="0.35">
      <c r="A6" s="38">
        <v>46087</v>
      </c>
      <c r="B6" s="11">
        <f t="shared" si="4"/>
        <v>35.65</v>
      </c>
      <c r="C6" s="11">
        <v>36.15</v>
      </c>
      <c r="D6" s="11">
        <v>33.799999999999997</v>
      </c>
      <c r="E6" s="11">
        <v>34.799999999999997</v>
      </c>
      <c r="F6" s="8">
        <v>9790</v>
      </c>
      <c r="G6" s="2">
        <f t="shared" si="0"/>
        <v>1.0010224948875255</v>
      </c>
      <c r="H6" s="9">
        <f t="shared" si="1"/>
        <v>6.5918653576437627E-2</v>
      </c>
      <c r="I6" s="9">
        <f t="shared" si="2"/>
        <v>0.42553191489361675</v>
      </c>
      <c r="J6" s="2" t="str">
        <f t="shared" si="3"/>
        <v>⚪ 【觀望】多空拉鋸，結構調整中</v>
      </c>
      <c r="K6" s="51">
        <v>9780</v>
      </c>
      <c r="L6" s="54"/>
    </row>
    <row r="7" spans="1:12" ht="31" x14ac:dyDescent="0.35">
      <c r="A7" s="38">
        <v>46090</v>
      </c>
      <c r="B7" s="11">
        <f t="shared" si="4"/>
        <v>34.799999999999997</v>
      </c>
      <c r="C7" s="11">
        <v>32</v>
      </c>
      <c r="D7" s="11">
        <v>31.35</v>
      </c>
      <c r="E7" s="11">
        <v>32</v>
      </c>
      <c r="F7" s="8">
        <v>4880</v>
      </c>
      <c r="G7" s="2">
        <f t="shared" si="0"/>
        <v>0.49442755825734547</v>
      </c>
      <c r="H7" s="9">
        <f t="shared" si="1"/>
        <v>1.867816091954019E-2</v>
      </c>
      <c r="I7" s="9">
        <f t="shared" si="2"/>
        <v>1</v>
      </c>
      <c r="J7" s="2" t="str">
        <f t="shared" si="3"/>
        <v>🟡 【持股/監控】安靜累積，耐心等待訊號。</v>
      </c>
      <c r="K7" s="51">
        <v>9870</v>
      </c>
      <c r="L7" s="55" t="s">
        <v>40</v>
      </c>
    </row>
    <row r="8" spans="1:12" x14ac:dyDescent="0.35">
      <c r="A8" s="38"/>
      <c r="B8" s="11">
        <f t="shared" si="4"/>
        <v>32</v>
      </c>
      <c r="C8" s="11"/>
      <c r="D8" s="11"/>
      <c r="E8" s="11"/>
      <c r="F8" s="8"/>
      <c r="G8" s="2" t="e">
        <f t="shared" si="0"/>
        <v>#DIV/0!</v>
      </c>
      <c r="H8" s="9">
        <f t="shared" si="1"/>
        <v>0</v>
      </c>
      <c r="I8" s="9">
        <f t="shared" si="2"/>
        <v>0.5</v>
      </c>
      <c r="J8" s="2" t="e">
        <f t="shared" si="3"/>
        <v>#DIV/0!</v>
      </c>
      <c r="K8" s="51"/>
      <c r="L8" s="54"/>
    </row>
    <row r="9" spans="1:12" x14ac:dyDescent="0.35">
      <c r="A9" s="38"/>
      <c r="B9" s="11">
        <f t="shared" si="4"/>
        <v>0</v>
      </c>
      <c r="C9" s="11"/>
      <c r="D9" s="11"/>
      <c r="E9" s="11"/>
      <c r="F9" s="8"/>
      <c r="G9" s="2" t="e">
        <f t="shared" si="0"/>
        <v>#DIV/0!</v>
      </c>
      <c r="H9" s="9" t="e">
        <f t="shared" si="1"/>
        <v>#DIV/0!</v>
      </c>
      <c r="I9" s="9">
        <f t="shared" si="2"/>
        <v>0.5</v>
      </c>
      <c r="J9" s="2" t="e">
        <f t="shared" si="3"/>
        <v>#DIV/0!</v>
      </c>
      <c r="K9" s="51"/>
      <c r="L9" s="54"/>
    </row>
    <row r="10" spans="1:12" x14ac:dyDescent="0.35">
      <c r="A10" s="38"/>
      <c r="B10" s="11">
        <f t="shared" si="4"/>
        <v>0</v>
      </c>
      <c r="C10" s="11"/>
      <c r="D10" s="11"/>
      <c r="E10" s="11"/>
      <c r="F10" s="8"/>
      <c r="G10" s="2" t="e">
        <f t="shared" si="0"/>
        <v>#DIV/0!</v>
      </c>
      <c r="H10" s="9" t="e">
        <f t="shared" si="1"/>
        <v>#DIV/0!</v>
      </c>
      <c r="I10" s="9">
        <f t="shared" si="2"/>
        <v>0.5</v>
      </c>
      <c r="J10" s="2" t="e">
        <f t="shared" si="3"/>
        <v>#DIV/0!</v>
      </c>
      <c r="K10" s="51"/>
      <c r="L10" s="54"/>
    </row>
    <row r="11" spans="1:12" x14ac:dyDescent="0.35">
      <c r="A11" s="38"/>
      <c r="B11" s="11">
        <f t="shared" si="4"/>
        <v>0</v>
      </c>
      <c r="C11" s="11"/>
      <c r="D11" s="11"/>
      <c r="E11" s="11"/>
      <c r="F11" s="8"/>
      <c r="G11" s="2" t="e">
        <f t="shared" si="0"/>
        <v>#DIV/0!</v>
      </c>
      <c r="H11" s="9" t="e">
        <f t="shared" si="1"/>
        <v>#DIV/0!</v>
      </c>
      <c r="I11" s="9">
        <f t="shared" si="2"/>
        <v>0.5</v>
      </c>
      <c r="J11" s="2" t="e">
        <f t="shared" si="3"/>
        <v>#DIV/0!</v>
      </c>
      <c r="K11" s="51"/>
      <c r="L11" s="54"/>
    </row>
    <row r="12" spans="1:12" ht="16" thickBot="1" x14ac:dyDescent="0.4">
      <c r="A12" s="39"/>
      <c r="B12" s="12"/>
      <c r="C12" s="12"/>
      <c r="D12" s="12"/>
      <c r="E12" s="12"/>
      <c r="F12" s="13"/>
      <c r="G12" s="10" t="e">
        <f t="shared" si="0"/>
        <v>#DIV/0!</v>
      </c>
      <c r="H12" s="14" t="e">
        <f t="shared" si="1"/>
        <v>#DIV/0!</v>
      </c>
      <c r="I12" s="14">
        <f t="shared" si="2"/>
        <v>0.5</v>
      </c>
      <c r="J12" s="10" t="e">
        <f t="shared" si="3"/>
        <v>#DIV/0!</v>
      </c>
      <c r="K12" s="52"/>
      <c r="L12" s="56"/>
    </row>
  </sheetData>
  <phoneticPr fontId="2" type="noConversion"/>
  <conditionalFormatting sqref="J1:J1048576">
    <cfRule type="containsText" dxfId="17" priority="2" operator="containsText" text="撤離">
      <formula>NOT(ISERROR(SEARCH("撤離",J1)))</formula>
    </cfRule>
    <cfRule type="containsText" dxfId="16" priority="3" operator="containsText" text="監控">
      <formula>NOT(ISERROR(SEARCH("監控",J1)))</formula>
    </cfRule>
    <cfRule type="containsText" dxfId="15" priority="4" operator="containsText" text="潛伏">
      <formula>NOT(ISERROR(SEARCH("潛伏",J1)))</formula>
    </cfRule>
    <cfRule type="containsText" dxfId="14" priority="5" operator="containsText" text="追擊">
      <formula>NOT(ISERROR(SEARCH("追擊",J1)))</formula>
    </cfRule>
  </conditionalFormatting>
  <conditionalFormatting sqref="A1:K1048576 L1">
    <cfRule type="containsText" dxfId="13" priority="1" operator="containsText" text="觀望">
      <formula>NOT(ISERROR(SEARCH("觀望",A1)))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B5D0-9BB0-4D36-A587-754903B06408}">
  <dimension ref="A1:L12"/>
  <sheetViews>
    <sheetView workbookViewId="0">
      <selection activeCell="L34" sqref="L34"/>
    </sheetView>
  </sheetViews>
  <sheetFormatPr defaultRowHeight="15.5" x14ac:dyDescent="0.35"/>
  <cols>
    <col min="1" max="1" width="8.5703125" bestFit="1" customWidth="1"/>
    <col min="2" max="5" width="7.140625" bestFit="1" customWidth="1"/>
    <col min="6" max="6" width="7" bestFit="1" customWidth="1"/>
    <col min="7" max="7" width="12.28515625" bestFit="1" customWidth="1"/>
    <col min="8" max="8" width="9.92578125" bestFit="1" customWidth="1"/>
    <col min="9" max="9" width="12.0703125" bestFit="1" customWidth="1"/>
    <col min="10" max="10" width="29.0703125" bestFit="1" customWidth="1"/>
    <col min="11" max="11" width="14" bestFit="1" customWidth="1"/>
    <col min="12" max="12" width="141.140625" customWidth="1"/>
  </cols>
  <sheetData>
    <row r="1" spans="1:12" ht="34.5" thickBot="1" x14ac:dyDescent="0.4">
      <c r="A1" s="45" t="s">
        <v>28</v>
      </c>
      <c r="B1" s="46" t="s">
        <v>29</v>
      </c>
      <c r="C1" s="46" t="s">
        <v>30</v>
      </c>
      <c r="D1" s="46" t="s">
        <v>31</v>
      </c>
      <c r="E1" s="46" t="s">
        <v>32</v>
      </c>
      <c r="F1" s="46" t="s">
        <v>33</v>
      </c>
      <c r="G1" s="47" t="s">
        <v>36</v>
      </c>
      <c r="H1" s="47" t="s">
        <v>35</v>
      </c>
      <c r="I1" s="47" t="s">
        <v>37</v>
      </c>
      <c r="J1" s="48" t="s">
        <v>34</v>
      </c>
      <c r="K1" s="46" t="s">
        <v>38</v>
      </c>
      <c r="L1" s="49" t="s">
        <v>39</v>
      </c>
    </row>
    <row r="2" spans="1:12" x14ac:dyDescent="0.35">
      <c r="A2" s="40">
        <v>46083</v>
      </c>
      <c r="B2" s="41">
        <v>80</v>
      </c>
      <c r="C2" s="41">
        <v>79.8</v>
      </c>
      <c r="D2" s="41">
        <v>76.7</v>
      </c>
      <c r="E2" s="41">
        <v>79</v>
      </c>
      <c r="F2" s="42">
        <v>13820</v>
      </c>
      <c r="G2" s="43">
        <f t="shared" ref="G2:G12" si="0">F2/K2</f>
        <v>0.75850713501646538</v>
      </c>
      <c r="H2" s="44">
        <f>(C2-D2)/B2</f>
        <v>3.874999999999993E-2</v>
      </c>
      <c r="I2" s="44">
        <f>IF((C2-D2)=0,0.5,(E2-D2)/(C2-D2))</f>
        <v>0.74193548387096819</v>
      </c>
      <c r="J2" s="43" t="str">
        <f>IF(AND(G2&gt;1, H2&gt;0.03, I2&gt;0.7), "🚀 【買入/追擊】大鱷表態，補齊第 2 張單！",
 IF(AND(G2&lt;0.15, H2&lt;0.015, I2&gt;0.7), "🟢 【買入/潛伏】完美地基，首單 1 張進場。",
 IF(AND(G2&lt;0.5, H2&lt;0.02, I2&gt;0.5), "🟡 【持股/監控】安靜累積，耐心等待訊號。",
 IF(AND(G2&lt;0.2, H2&gt;0.03, I2&lt;0.3), "🔴 【撤離/止損】結構崩塌，全數出清！",
 "⚪ 【觀望】多空拉鋸，結構調整中"))))</f>
        <v>⚪ 【觀望】多空拉鋸，結構調整中</v>
      </c>
      <c r="K2" s="50">
        <v>18220</v>
      </c>
      <c r="L2" s="53"/>
    </row>
    <row r="3" spans="1:12" x14ac:dyDescent="0.35">
      <c r="A3" s="38">
        <v>46084</v>
      </c>
      <c r="B3" s="11">
        <f>E2</f>
        <v>79</v>
      </c>
      <c r="C3" s="11">
        <v>80.400000000000006</v>
      </c>
      <c r="D3" s="11">
        <v>76</v>
      </c>
      <c r="E3" s="11">
        <v>76.3</v>
      </c>
      <c r="F3" s="8">
        <v>16290</v>
      </c>
      <c r="G3" s="2">
        <f t="shared" si="0"/>
        <v>0.89752066115702478</v>
      </c>
      <c r="H3" s="9">
        <f t="shared" ref="H3:H12" si="1">(C3-D3)/B3</f>
        <v>5.5696202531645644E-2</v>
      </c>
      <c r="I3" s="9">
        <f t="shared" ref="I3:I12" si="2">IF((C3-D3)=0,0.5,(E3-D3)/(C3-D3))</f>
        <v>6.8181818181817441E-2</v>
      </c>
      <c r="J3" s="2" t="str">
        <f t="shared" ref="J3:J12" si="3">IF(AND(G3&gt;1, H3&gt;0.03, I3&gt;0.7), "🚀 【買入/追擊】大鱷表態，補齊第 2 張單！",
 IF(AND(G3&lt;0.15, H3&lt;0.015, I3&gt;0.7), "🟢 【買入/潛伏】完美地基，首單 1 張進場。",
 IF(AND(G3&lt;0.5, H3&lt;0.02, I3&gt;0.5), "🟡 【持股/監控】安靜累積，耐心等待訊號。",
 IF(AND(G3&lt;0.2, H3&gt;0.03, I3&lt;0.3), "🔴 【撤離/止損】結構崩塌，全數出清！",
 "⚪ 【觀望】多空拉鋸，結構調整中"))))</f>
        <v>⚪ 【觀望】多空拉鋸，結構調整中</v>
      </c>
      <c r="K3" s="51">
        <v>18150</v>
      </c>
      <c r="L3" s="54"/>
    </row>
    <row r="4" spans="1:12" x14ac:dyDescent="0.35">
      <c r="A4" s="38">
        <v>46085</v>
      </c>
      <c r="B4" s="11">
        <f t="shared" ref="B4:B12" si="4">E3</f>
        <v>76.3</v>
      </c>
      <c r="C4" s="11">
        <v>79.900000000000006</v>
      </c>
      <c r="D4" s="11">
        <v>75.2</v>
      </c>
      <c r="E4" s="11">
        <v>78.099999999999994</v>
      </c>
      <c r="F4" s="8">
        <v>30830</v>
      </c>
      <c r="G4" s="2">
        <f t="shared" si="0"/>
        <v>1.7637299771167048</v>
      </c>
      <c r="H4" s="9">
        <f t="shared" si="1"/>
        <v>6.1598951507208427E-2</v>
      </c>
      <c r="I4" s="9">
        <f t="shared" si="2"/>
        <v>0.61702127659574246</v>
      </c>
      <c r="J4" s="2" t="str">
        <f t="shared" si="3"/>
        <v>⚪ 【觀望】多空拉鋸，結構調整中</v>
      </c>
      <c r="K4" s="51">
        <v>17480</v>
      </c>
      <c r="L4" s="54"/>
    </row>
    <row r="5" spans="1:12" x14ac:dyDescent="0.35">
      <c r="A5" s="38">
        <v>46086</v>
      </c>
      <c r="B5" s="11">
        <f t="shared" si="4"/>
        <v>78.099999999999994</v>
      </c>
      <c r="C5" s="11">
        <v>82.3</v>
      </c>
      <c r="D5" s="11">
        <v>79.5</v>
      </c>
      <c r="E5" s="11">
        <v>81.400000000000006</v>
      </c>
      <c r="F5" s="8">
        <v>27830</v>
      </c>
      <c r="G5" s="2">
        <f t="shared" si="0"/>
        <v>1.5884703196347032</v>
      </c>
      <c r="H5" s="9">
        <f t="shared" si="1"/>
        <v>3.5851472471190748E-2</v>
      </c>
      <c r="I5" s="9">
        <f t="shared" si="2"/>
        <v>0.67857142857143127</v>
      </c>
      <c r="J5" s="2" t="str">
        <f t="shared" si="3"/>
        <v>⚪ 【觀望】多空拉鋸，結構調整中</v>
      </c>
      <c r="K5" s="51">
        <v>17520</v>
      </c>
      <c r="L5" s="54"/>
    </row>
    <row r="6" spans="1:12" x14ac:dyDescent="0.35">
      <c r="A6" s="38">
        <v>46087</v>
      </c>
      <c r="B6" s="11">
        <f t="shared" si="4"/>
        <v>81.400000000000006</v>
      </c>
      <c r="C6" s="11">
        <v>81.7</v>
      </c>
      <c r="D6" s="11">
        <v>80.099999999999994</v>
      </c>
      <c r="E6" s="11">
        <v>80.8</v>
      </c>
      <c r="F6" s="8">
        <v>12240</v>
      </c>
      <c r="G6" s="2">
        <f t="shared" si="0"/>
        <v>0.71370262390670558</v>
      </c>
      <c r="H6" s="9">
        <f t="shared" si="1"/>
        <v>1.965601965601976E-2</v>
      </c>
      <c r="I6" s="9">
        <f t="shared" si="2"/>
        <v>0.43749999999999944</v>
      </c>
      <c r="J6" s="2" t="str">
        <f t="shared" si="3"/>
        <v>⚪ 【觀望】多空拉鋸，結構調整中</v>
      </c>
      <c r="K6" s="51">
        <v>17150</v>
      </c>
      <c r="L6" s="54"/>
    </row>
    <row r="7" spans="1:12" x14ac:dyDescent="0.35">
      <c r="A7" s="38">
        <v>46090</v>
      </c>
      <c r="B7" s="11">
        <f t="shared" si="4"/>
        <v>80.8</v>
      </c>
      <c r="C7" s="11">
        <v>78</v>
      </c>
      <c r="D7" s="11">
        <v>75.599999999999994</v>
      </c>
      <c r="E7" s="11">
        <v>78</v>
      </c>
      <c r="F7" s="8">
        <v>14250</v>
      </c>
      <c r="G7" s="2">
        <f t="shared" si="0"/>
        <v>0.84070796460176989</v>
      </c>
      <c r="H7" s="9">
        <f t="shared" si="1"/>
        <v>2.9702970297029774E-2</v>
      </c>
      <c r="I7" s="9">
        <f t="shared" si="2"/>
        <v>1</v>
      </c>
      <c r="J7" s="2" t="str">
        <f t="shared" si="3"/>
        <v>⚪ 【觀望】多空拉鋸，結構調整中</v>
      </c>
      <c r="K7" s="51">
        <v>16950</v>
      </c>
      <c r="L7" s="55"/>
    </row>
    <row r="8" spans="1:12" x14ac:dyDescent="0.35">
      <c r="A8" s="38"/>
      <c r="B8" s="11">
        <f t="shared" si="4"/>
        <v>78</v>
      </c>
      <c r="C8" s="11"/>
      <c r="D8" s="11"/>
      <c r="E8" s="11"/>
      <c r="F8" s="8"/>
      <c r="G8" s="2" t="e">
        <f t="shared" si="0"/>
        <v>#DIV/0!</v>
      </c>
      <c r="H8" s="9">
        <f t="shared" si="1"/>
        <v>0</v>
      </c>
      <c r="I8" s="9">
        <f t="shared" si="2"/>
        <v>0.5</v>
      </c>
      <c r="J8" s="2" t="e">
        <f t="shared" si="3"/>
        <v>#DIV/0!</v>
      </c>
      <c r="K8" s="51"/>
      <c r="L8" s="54"/>
    </row>
    <row r="9" spans="1:12" x14ac:dyDescent="0.35">
      <c r="A9" s="38"/>
      <c r="B9" s="11">
        <f t="shared" si="4"/>
        <v>0</v>
      </c>
      <c r="C9" s="11"/>
      <c r="D9" s="11"/>
      <c r="E9" s="11"/>
      <c r="F9" s="8"/>
      <c r="G9" s="2" t="e">
        <f t="shared" si="0"/>
        <v>#DIV/0!</v>
      </c>
      <c r="H9" s="9" t="e">
        <f t="shared" si="1"/>
        <v>#DIV/0!</v>
      </c>
      <c r="I9" s="9">
        <f t="shared" si="2"/>
        <v>0.5</v>
      </c>
      <c r="J9" s="2" t="e">
        <f t="shared" si="3"/>
        <v>#DIV/0!</v>
      </c>
      <c r="K9" s="51"/>
      <c r="L9" s="54"/>
    </row>
    <row r="10" spans="1:12" x14ac:dyDescent="0.35">
      <c r="A10" s="38"/>
      <c r="B10" s="11">
        <f t="shared" si="4"/>
        <v>0</v>
      </c>
      <c r="C10" s="11"/>
      <c r="D10" s="11"/>
      <c r="E10" s="11"/>
      <c r="F10" s="8"/>
      <c r="G10" s="2" t="e">
        <f t="shared" si="0"/>
        <v>#DIV/0!</v>
      </c>
      <c r="H10" s="9" t="e">
        <f t="shared" si="1"/>
        <v>#DIV/0!</v>
      </c>
      <c r="I10" s="9">
        <f t="shared" si="2"/>
        <v>0.5</v>
      </c>
      <c r="J10" s="2" t="e">
        <f t="shared" si="3"/>
        <v>#DIV/0!</v>
      </c>
      <c r="K10" s="51"/>
      <c r="L10" s="54"/>
    </row>
    <row r="11" spans="1:12" x14ac:dyDescent="0.35">
      <c r="A11" s="38"/>
      <c r="B11" s="11">
        <f t="shared" si="4"/>
        <v>0</v>
      </c>
      <c r="C11" s="11"/>
      <c r="D11" s="11"/>
      <c r="E11" s="11"/>
      <c r="F11" s="8"/>
      <c r="G11" s="2" t="e">
        <f t="shared" si="0"/>
        <v>#DIV/0!</v>
      </c>
      <c r="H11" s="9" t="e">
        <f t="shared" si="1"/>
        <v>#DIV/0!</v>
      </c>
      <c r="I11" s="9">
        <f t="shared" si="2"/>
        <v>0.5</v>
      </c>
      <c r="J11" s="2" t="e">
        <f t="shared" si="3"/>
        <v>#DIV/0!</v>
      </c>
      <c r="K11" s="51"/>
      <c r="L11" s="54"/>
    </row>
    <row r="12" spans="1:12" ht="16" thickBot="1" x14ac:dyDescent="0.4">
      <c r="A12" s="39"/>
      <c r="B12" s="12">
        <f t="shared" si="4"/>
        <v>0</v>
      </c>
      <c r="C12" s="12"/>
      <c r="D12" s="12"/>
      <c r="E12" s="12"/>
      <c r="F12" s="13"/>
      <c r="G12" s="10" t="e">
        <f t="shared" si="0"/>
        <v>#DIV/0!</v>
      </c>
      <c r="H12" s="14" t="e">
        <f t="shared" si="1"/>
        <v>#DIV/0!</v>
      </c>
      <c r="I12" s="14">
        <f t="shared" si="2"/>
        <v>0.5</v>
      </c>
      <c r="J12" s="10" t="e">
        <f t="shared" si="3"/>
        <v>#DIV/0!</v>
      </c>
      <c r="K12" s="52"/>
      <c r="L12" s="56"/>
    </row>
  </sheetData>
  <phoneticPr fontId="2" type="noConversion"/>
  <conditionalFormatting sqref="J1:J1048576">
    <cfRule type="containsText" dxfId="32" priority="2" operator="containsText" text="觀望">
      <formula>NOT(ISERROR(SEARCH("觀望",J1)))</formula>
    </cfRule>
    <cfRule type="containsText" dxfId="31" priority="3" operator="containsText" text="撤離">
      <formula>NOT(ISERROR(SEARCH("撤離",J1)))</formula>
    </cfRule>
    <cfRule type="containsText" dxfId="30" priority="4" operator="containsText" text="監控">
      <formula>NOT(ISERROR(SEARCH("監控",J1)))</formula>
    </cfRule>
    <cfRule type="containsText" dxfId="29" priority="5" operator="containsText" text="潛伏">
      <formula>NOT(ISERROR(SEARCH("潛伏",J1)))</formula>
    </cfRule>
    <cfRule type="containsText" dxfId="28" priority="6" operator="containsText" text="追擊">
      <formula>NOT(ISERROR(SEARCH("追擊",J1)))</formula>
    </cfRule>
  </conditionalFormatting>
  <conditionalFormatting sqref="L1">
    <cfRule type="containsText" dxfId="2" priority="1" operator="containsText" text="觀望">
      <formula>NOT(ISERROR(SEARCH("觀望",L1)))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77AD-E62E-492D-A832-C4E50A0C327E}">
  <dimension ref="A1:L12"/>
  <sheetViews>
    <sheetView workbookViewId="0">
      <selection activeCell="L2" sqref="L2:L12"/>
    </sheetView>
  </sheetViews>
  <sheetFormatPr defaultRowHeight="15.5" x14ac:dyDescent="0.35"/>
  <cols>
    <col min="1" max="1" width="8.5703125" bestFit="1" customWidth="1"/>
    <col min="2" max="5" width="7.140625" bestFit="1" customWidth="1"/>
    <col min="6" max="6" width="7" bestFit="1" customWidth="1"/>
    <col min="7" max="7" width="12.28515625" bestFit="1" customWidth="1"/>
    <col min="8" max="8" width="9.92578125" bestFit="1" customWidth="1"/>
    <col min="9" max="9" width="12.0703125" bestFit="1" customWidth="1"/>
    <col min="10" max="10" width="37.28515625" bestFit="1" customWidth="1"/>
    <col min="11" max="11" width="8.35546875" bestFit="1" customWidth="1"/>
    <col min="12" max="12" width="141.140625" customWidth="1"/>
  </cols>
  <sheetData>
    <row r="1" spans="1:12" ht="34.5" thickBot="1" x14ac:dyDescent="0.4">
      <c r="A1" s="45" t="s">
        <v>28</v>
      </c>
      <c r="B1" s="46" t="s">
        <v>29</v>
      </c>
      <c r="C1" s="46" t="s">
        <v>30</v>
      </c>
      <c r="D1" s="46" t="s">
        <v>31</v>
      </c>
      <c r="E1" s="46" t="s">
        <v>32</v>
      </c>
      <c r="F1" s="46" t="s">
        <v>33</v>
      </c>
      <c r="G1" s="47" t="s">
        <v>36</v>
      </c>
      <c r="H1" s="47" t="s">
        <v>35</v>
      </c>
      <c r="I1" s="47" t="s">
        <v>37</v>
      </c>
      <c r="J1" s="48" t="s">
        <v>34</v>
      </c>
      <c r="K1" s="46" t="s">
        <v>38</v>
      </c>
      <c r="L1" s="49" t="s">
        <v>39</v>
      </c>
    </row>
    <row r="2" spans="1:12" x14ac:dyDescent="0.35">
      <c r="A2" s="40">
        <v>46083</v>
      </c>
      <c r="B2" s="41">
        <v>24.65</v>
      </c>
      <c r="C2" s="41">
        <v>24.2</v>
      </c>
      <c r="D2" s="41">
        <v>23.3</v>
      </c>
      <c r="E2" s="41">
        <v>23.9</v>
      </c>
      <c r="F2" s="42">
        <v>2400</v>
      </c>
      <c r="G2" s="43">
        <f t="shared" ref="G2:G12" si="0">F2/K2</f>
        <v>0.43875685557586835</v>
      </c>
      <c r="H2" s="44">
        <f>(C2-D2)/B2</f>
        <v>3.651115618661252E-2</v>
      </c>
      <c r="I2" s="44">
        <f>IF((C2-D2)=0,0.5,(E2-D2)/(C2-D2))</f>
        <v>0.6666666666666653</v>
      </c>
      <c r="J2" s="43" t="str">
        <f>IF(AND(G2&gt;1, H2&gt;0.03, I2&gt;0.7), "🚀 【買入/追擊】大鱷表態，補齊第 2 張單！",
 IF(AND(G2&lt;0.15, H2&lt;0.015, I2&gt;0.7), "🟢 【買入/潛伏】完美地基，首單 1 張進場。",
 IF(AND(G2&lt;0.5, H2&lt;0.02, I2&gt;0.5), "🟡 【持股/監控】安靜累積，耐心等待訊號。",
 IF(AND(G2&lt;0.2, H2&gt;0.03, I2&lt;0.3), "🔴 【撤離/止損】結構崩塌，全數出清！",
 "⚪ 【觀望】多空拉鋸，結構調整中"))))</f>
        <v>⚪ 【觀望】多空拉鋸，結構調整中</v>
      </c>
      <c r="K2" s="50">
        <v>5470</v>
      </c>
      <c r="L2" s="53"/>
    </row>
    <row r="3" spans="1:12" x14ac:dyDescent="0.35">
      <c r="A3" s="38">
        <v>46084</v>
      </c>
      <c r="B3" s="11">
        <f>E2</f>
        <v>23.9</v>
      </c>
      <c r="C3" s="11">
        <v>26.25</v>
      </c>
      <c r="D3" s="11">
        <v>23.1</v>
      </c>
      <c r="E3" s="11">
        <v>25.1</v>
      </c>
      <c r="F3" s="8">
        <v>10150</v>
      </c>
      <c r="G3" s="2">
        <f t="shared" si="0"/>
        <v>1.7964601769911503</v>
      </c>
      <c r="H3" s="9">
        <f t="shared" ref="H3:H12" si="1">(C3-D3)/B3</f>
        <v>0.13179916317991627</v>
      </c>
      <c r="I3" s="9">
        <f t="shared" ref="I3:I12" si="2">IF((C3-D3)=0,0.5,(E3-D3)/(C3-D3))</f>
        <v>0.63492063492063522</v>
      </c>
      <c r="J3" s="2" t="str">
        <f t="shared" ref="J3:J12" si="3">IF(AND(G3&gt;1, H3&gt;0.03, I3&gt;0.7), "🚀 【買入/追擊】大鱷表態，補齊第 2 張單！",
 IF(AND(G3&lt;0.15, H3&lt;0.015, I3&gt;0.7), "🟢 【買入/潛伏】完美地基，首單 1 張進場。",
 IF(AND(G3&lt;0.5, H3&lt;0.02, I3&gt;0.5), "🟡 【持股/監控】安靜累積，耐心等待訊號。",
 IF(AND(G3&lt;0.2, H3&gt;0.03, I3&lt;0.3), "🔴 【撤離/止損】結構崩塌，全數出清！",
 "⚪ 【觀望】多空拉鋸，結構調整中"))))</f>
        <v>⚪ 【觀望】多空拉鋸，結構調整中</v>
      </c>
      <c r="K3" s="51">
        <v>5650</v>
      </c>
      <c r="L3" s="54"/>
    </row>
    <row r="4" spans="1:12" x14ac:dyDescent="0.35">
      <c r="A4" s="38">
        <v>46085</v>
      </c>
      <c r="B4" s="11">
        <f t="shared" ref="B4:B12" si="4">E3</f>
        <v>25.1</v>
      </c>
      <c r="C4" s="11">
        <v>27.5</v>
      </c>
      <c r="D4" s="11">
        <v>22.6</v>
      </c>
      <c r="E4" s="11">
        <v>27.35</v>
      </c>
      <c r="F4" s="8">
        <v>18700</v>
      </c>
      <c r="G4" s="2">
        <f t="shared" si="0"/>
        <v>3.1166666666666667</v>
      </c>
      <c r="H4" s="9">
        <f t="shared" si="1"/>
        <v>0.19521912350597603</v>
      </c>
      <c r="I4" s="9">
        <f t="shared" si="2"/>
        <v>0.96938775510204112</v>
      </c>
      <c r="J4" s="2" t="str">
        <f t="shared" si="3"/>
        <v>🚀 【買入/追擊】大鱷表態，補齊第 2 張單！</v>
      </c>
      <c r="K4" s="51">
        <v>6000</v>
      </c>
      <c r="L4" s="54"/>
    </row>
    <row r="5" spans="1:12" x14ac:dyDescent="0.35">
      <c r="A5" s="38">
        <v>46086</v>
      </c>
      <c r="B5" s="11">
        <f t="shared" si="4"/>
        <v>27.35</v>
      </c>
      <c r="C5" s="11">
        <v>30.05</v>
      </c>
      <c r="D5" s="11">
        <v>26</v>
      </c>
      <c r="E5" s="11">
        <v>27.3</v>
      </c>
      <c r="F5" s="8">
        <v>42280</v>
      </c>
      <c r="G5" s="2">
        <f t="shared" si="0"/>
        <v>6.3198804185351269</v>
      </c>
      <c r="H5" s="9">
        <f t="shared" si="1"/>
        <v>0.14808043875685559</v>
      </c>
      <c r="I5" s="9">
        <f t="shared" si="2"/>
        <v>0.32098765432098775</v>
      </c>
      <c r="J5" s="2" t="str">
        <f t="shared" si="3"/>
        <v>⚪ 【觀望】多空拉鋸，結構調整中</v>
      </c>
      <c r="K5" s="51">
        <v>6690</v>
      </c>
      <c r="L5" s="54"/>
    </row>
    <row r="6" spans="1:12" x14ac:dyDescent="0.35">
      <c r="A6" s="38">
        <v>46087</v>
      </c>
      <c r="B6" s="11">
        <f t="shared" si="4"/>
        <v>27.3</v>
      </c>
      <c r="C6" s="11">
        <v>28.4</v>
      </c>
      <c r="D6" s="11">
        <v>26.25</v>
      </c>
      <c r="E6" s="11">
        <v>26.55</v>
      </c>
      <c r="F6" s="8">
        <v>9720</v>
      </c>
      <c r="G6" s="2">
        <f t="shared" si="0"/>
        <v>1.463855421686747</v>
      </c>
      <c r="H6" s="9">
        <f t="shared" si="1"/>
        <v>7.8754578754578697E-2</v>
      </c>
      <c r="I6" s="9">
        <f t="shared" si="2"/>
        <v>0.13953488372093065</v>
      </c>
      <c r="J6" s="2" t="str">
        <f t="shared" si="3"/>
        <v>⚪ 【觀望】多空拉鋸，結構調整中</v>
      </c>
      <c r="K6" s="51">
        <v>6640</v>
      </c>
      <c r="L6" s="54"/>
    </row>
    <row r="7" spans="1:12" x14ac:dyDescent="0.35">
      <c r="A7" s="38">
        <v>46090</v>
      </c>
      <c r="B7" s="11">
        <f t="shared" si="4"/>
        <v>26.55</v>
      </c>
      <c r="C7" s="11">
        <v>25.3</v>
      </c>
      <c r="D7" s="11">
        <v>23.9</v>
      </c>
      <c r="E7" s="11">
        <v>23.9</v>
      </c>
      <c r="F7" s="8">
        <v>4480</v>
      </c>
      <c r="G7" s="2">
        <f t="shared" si="0"/>
        <v>0.68292682926829273</v>
      </c>
      <c r="H7" s="9">
        <f t="shared" si="1"/>
        <v>5.2730696798493487E-2</v>
      </c>
      <c r="I7" s="9">
        <f t="shared" si="2"/>
        <v>0</v>
      </c>
      <c r="J7" s="2" t="str">
        <f t="shared" si="3"/>
        <v>⚪ 【觀望】多空拉鋸，結構調整中</v>
      </c>
      <c r="K7" s="51">
        <v>6560</v>
      </c>
      <c r="L7" s="55"/>
    </row>
    <row r="8" spans="1:12" x14ac:dyDescent="0.35">
      <c r="A8" s="38"/>
      <c r="B8" s="11">
        <f t="shared" si="4"/>
        <v>23.9</v>
      </c>
      <c r="C8" s="11"/>
      <c r="D8" s="11"/>
      <c r="E8" s="11"/>
      <c r="F8" s="8"/>
      <c r="G8" s="2" t="e">
        <f t="shared" si="0"/>
        <v>#DIV/0!</v>
      </c>
      <c r="H8" s="9">
        <f t="shared" si="1"/>
        <v>0</v>
      </c>
      <c r="I8" s="9">
        <f t="shared" si="2"/>
        <v>0.5</v>
      </c>
      <c r="J8" s="2" t="e">
        <f t="shared" si="3"/>
        <v>#DIV/0!</v>
      </c>
      <c r="K8" s="51"/>
      <c r="L8" s="54"/>
    </row>
    <row r="9" spans="1:12" x14ac:dyDescent="0.35">
      <c r="A9" s="38"/>
      <c r="B9" s="11">
        <f t="shared" si="4"/>
        <v>0</v>
      </c>
      <c r="C9" s="11"/>
      <c r="D9" s="11"/>
      <c r="E9" s="11"/>
      <c r="F9" s="8"/>
      <c r="G9" s="2" t="e">
        <f t="shared" si="0"/>
        <v>#DIV/0!</v>
      </c>
      <c r="H9" s="9" t="e">
        <f t="shared" si="1"/>
        <v>#DIV/0!</v>
      </c>
      <c r="I9" s="9">
        <f t="shared" si="2"/>
        <v>0.5</v>
      </c>
      <c r="J9" s="2" t="e">
        <f t="shared" si="3"/>
        <v>#DIV/0!</v>
      </c>
      <c r="K9" s="51"/>
      <c r="L9" s="54"/>
    </row>
    <row r="10" spans="1:12" x14ac:dyDescent="0.35">
      <c r="A10" s="38"/>
      <c r="B10" s="11">
        <f t="shared" si="4"/>
        <v>0</v>
      </c>
      <c r="C10" s="11"/>
      <c r="D10" s="11"/>
      <c r="E10" s="11"/>
      <c r="F10" s="8"/>
      <c r="G10" s="2" t="e">
        <f t="shared" si="0"/>
        <v>#DIV/0!</v>
      </c>
      <c r="H10" s="9" t="e">
        <f t="shared" si="1"/>
        <v>#DIV/0!</v>
      </c>
      <c r="I10" s="9">
        <f t="shared" si="2"/>
        <v>0.5</v>
      </c>
      <c r="J10" s="2" t="e">
        <f t="shared" si="3"/>
        <v>#DIV/0!</v>
      </c>
      <c r="K10" s="51"/>
      <c r="L10" s="54"/>
    </row>
    <row r="11" spans="1:12" x14ac:dyDescent="0.35">
      <c r="A11" s="38"/>
      <c r="B11" s="11">
        <f t="shared" si="4"/>
        <v>0</v>
      </c>
      <c r="C11" s="11"/>
      <c r="D11" s="11"/>
      <c r="E11" s="11"/>
      <c r="F11" s="8"/>
      <c r="G11" s="2" t="e">
        <f t="shared" si="0"/>
        <v>#DIV/0!</v>
      </c>
      <c r="H11" s="9" t="e">
        <f t="shared" si="1"/>
        <v>#DIV/0!</v>
      </c>
      <c r="I11" s="9">
        <f t="shared" si="2"/>
        <v>0.5</v>
      </c>
      <c r="J11" s="2" t="e">
        <f t="shared" si="3"/>
        <v>#DIV/0!</v>
      </c>
      <c r="K11" s="51"/>
      <c r="L11" s="54"/>
    </row>
    <row r="12" spans="1:12" ht="16" thickBot="1" x14ac:dyDescent="0.4">
      <c r="A12" s="39"/>
      <c r="B12" s="12">
        <f t="shared" si="4"/>
        <v>0</v>
      </c>
      <c r="C12" s="12"/>
      <c r="D12" s="12"/>
      <c r="E12" s="12"/>
      <c r="F12" s="13"/>
      <c r="G12" s="10" t="e">
        <f t="shared" si="0"/>
        <v>#DIV/0!</v>
      </c>
      <c r="H12" s="14" t="e">
        <f t="shared" si="1"/>
        <v>#DIV/0!</v>
      </c>
      <c r="I12" s="14">
        <f t="shared" si="2"/>
        <v>0.5</v>
      </c>
      <c r="J12" s="10" t="e">
        <f t="shared" si="3"/>
        <v>#DIV/0!</v>
      </c>
      <c r="K12" s="52"/>
      <c r="L12" s="56"/>
    </row>
  </sheetData>
  <phoneticPr fontId="2" type="noConversion"/>
  <conditionalFormatting sqref="J1:J1048576">
    <cfRule type="containsText" dxfId="27" priority="2" operator="containsText" text="觀望">
      <formula>NOT(ISERROR(SEARCH("觀望",J1)))</formula>
    </cfRule>
    <cfRule type="containsText" dxfId="26" priority="3" operator="containsText" text="撤離">
      <formula>NOT(ISERROR(SEARCH("撤離",J1)))</formula>
    </cfRule>
    <cfRule type="containsText" dxfId="25" priority="4" operator="containsText" text="監控">
      <formula>NOT(ISERROR(SEARCH("監控",J1)))</formula>
    </cfRule>
    <cfRule type="containsText" dxfId="24" priority="5" operator="containsText" text="潛伏">
      <formula>NOT(ISERROR(SEARCH("潛伏",J1)))</formula>
    </cfRule>
    <cfRule type="containsText" dxfId="23" priority="6" operator="containsText" text="追擊">
      <formula>NOT(ISERROR(SEARCH("追擊",J1)))</formula>
    </cfRule>
  </conditionalFormatting>
  <conditionalFormatting sqref="L1">
    <cfRule type="containsText" dxfId="1" priority="1" operator="containsText" text="觀望">
      <formula>NOT(ISERROR(SEARCH("觀望",L1)))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8E19-F21C-4B40-976F-568822CC1009}">
  <dimension ref="A1:L12"/>
  <sheetViews>
    <sheetView tabSelected="1" workbookViewId="0">
      <selection activeCell="L11" sqref="L11"/>
    </sheetView>
  </sheetViews>
  <sheetFormatPr defaultRowHeight="15.5" x14ac:dyDescent="0.35"/>
  <cols>
    <col min="1" max="1" width="8.5703125" bestFit="1" customWidth="1"/>
    <col min="2" max="5" width="7.140625" bestFit="1" customWidth="1"/>
    <col min="6" max="6" width="7" bestFit="1" customWidth="1"/>
    <col min="7" max="7" width="12.28515625" bestFit="1" customWidth="1"/>
    <col min="8" max="8" width="9.92578125" bestFit="1" customWidth="1"/>
    <col min="9" max="9" width="12.0703125" bestFit="1" customWidth="1"/>
    <col min="10" max="10" width="37.28515625" bestFit="1" customWidth="1"/>
    <col min="11" max="11" width="8.35546875" bestFit="1" customWidth="1"/>
    <col min="12" max="12" width="141.140625" customWidth="1"/>
  </cols>
  <sheetData>
    <row r="1" spans="1:12" ht="34.5" thickBot="1" x14ac:dyDescent="0.4">
      <c r="A1" s="45" t="s">
        <v>28</v>
      </c>
      <c r="B1" s="46" t="s">
        <v>29</v>
      </c>
      <c r="C1" s="46" t="s">
        <v>30</v>
      </c>
      <c r="D1" s="46" t="s">
        <v>31</v>
      </c>
      <c r="E1" s="46" t="s">
        <v>32</v>
      </c>
      <c r="F1" s="46" t="s">
        <v>33</v>
      </c>
      <c r="G1" s="47" t="s">
        <v>36</v>
      </c>
      <c r="H1" s="47" t="s">
        <v>35</v>
      </c>
      <c r="I1" s="47" t="s">
        <v>37</v>
      </c>
      <c r="J1" s="48" t="s">
        <v>34</v>
      </c>
      <c r="K1" s="46" t="s">
        <v>38</v>
      </c>
      <c r="L1" s="49" t="s">
        <v>39</v>
      </c>
    </row>
    <row r="2" spans="1:12" x14ac:dyDescent="0.35">
      <c r="A2" s="40">
        <v>46083</v>
      </c>
      <c r="B2" s="41">
        <v>14.1</v>
      </c>
      <c r="C2" s="41">
        <v>14.6</v>
      </c>
      <c r="D2" s="41">
        <v>13.6</v>
      </c>
      <c r="E2" s="41">
        <v>14.4</v>
      </c>
      <c r="F2" s="42">
        <v>5460</v>
      </c>
      <c r="G2" s="43">
        <f t="shared" ref="G2:G12" si="0">F2/K2</f>
        <v>2.0760456273764261</v>
      </c>
      <c r="H2" s="44">
        <f>(C2-D2)/B2</f>
        <v>7.0921985815602842E-2</v>
      </c>
      <c r="I2" s="44">
        <f>IF((C2-D2)=0,0.5,(E2-D2)/(C2-D2))</f>
        <v>0.80000000000000071</v>
      </c>
      <c r="J2" s="43" t="str">
        <f>IF(AND(G2&gt;1, H2&gt;0.03, I2&gt;0.7), "🚀 【買入/追擊】大鱷表態，補齊第 2 張單！",
 IF(AND(G2&lt;0.15, H2&lt;0.015, I2&gt;0.7), "🟢 【買入/潛伏】完美地基，首單 1 張進場。",
 IF(AND(G2&lt;0.5, H2&lt;0.02, I2&gt;0.5), "🟡 【持股/監控】安靜累積，耐心等待訊號。",
 IF(AND(G2&lt;0.2, H2&gt;0.03, I2&lt;0.3), "🔴 【撤離/止損】結構崩塌，全數出清！",
 "⚪ 【觀望】多空拉鋸，結構調整中"))))</f>
        <v>🚀 【買入/追擊】大鱷表態，補齊第 2 張單！</v>
      </c>
      <c r="K2" s="50">
        <v>2630</v>
      </c>
      <c r="L2" s="53"/>
    </row>
    <row r="3" spans="1:12" x14ac:dyDescent="0.35">
      <c r="A3" s="38">
        <v>46084</v>
      </c>
      <c r="B3" s="11">
        <f>E2</f>
        <v>14.4</v>
      </c>
      <c r="C3" s="11">
        <v>14.75</v>
      </c>
      <c r="D3" s="11">
        <v>14.1</v>
      </c>
      <c r="E3" s="11">
        <v>14.45</v>
      </c>
      <c r="F3" s="8">
        <v>3560</v>
      </c>
      <c r="G3" s="2">
        <f t="shared" si="0"/>
        <v>1.3283582089552239</v>
      </c>
      <c r="H3" s="9">
        <f t="shared" ref="H3:H12" si="1">(C3-D3)/B3</f>
        <v>4.5138888888888916E-2</v>
      </c>
      <c r="I3" s="9">
        <f t="shared" ref="I3:I12" si="2">IF((C3-D3)=0,0.5,(E3-D3)/(C3-D3))</f>
        <v>0.53846153846153766</v>
      </c>
      <c r="J3" s="2" t="str">
        <f t="shared" ref="J3:J12" si="3">IF(AND(G3&gt;1, H3&gt;0.03, I3&gt;0.7), "🚀 【買入/追擊】大鱷表態，補齊第 2 張單！",
 IF(AND(G3&lt;0.15, H3&lt;0.015, I3&gt;0.7), "🟢 【買入/潛伏】完美地基，首單 1 張進場。",
 IF(AND(G3&lt;0.5, H3&lt;0.02, I3&gt;0.5), "🟡 【持股/監控】安靜累積，耐心等待訊號。",
 IF(AND(G3&lt;0.2, H3&gt;0.03, I3&lt;0.3), "🔴 【撤離/止損】結構崩塌，全數出清！",
 "⚪ 【觀望】多空拉鋸，結構調整中"))))</f>
        <v>⚪ 【觀望】多空拉鋸，結構調整中</v>
      </c>
      <c r="K3" s="51">
        <v>2680</v>
      </c>
      <c r="L3" s="54"/>
    </row>
    <row r="4" spans="1:12" x14ac:dyDescent="0.35">
      <c r="A4" s="38">
        <v>46085</v>
      </c>
      <c r="B4" s="11">
        <f t="shared" ref="B4:B12" si="4">E3</f>
        <v>14.45</v>
      </c>
      <c r="C4" s="11">
        <v>15</v>
      </c>
      <c r="D4" s="11">
        <v>13.85</v>
      </c>
      <c r="E4" s="11">
        <v>14.9</v>
      </c>
      <c r="F4" s="8">
        <v>7920</v>
      </c>
      <c r="G4" s="2">
        <f t="shared" si="0"/>
        <v>2.7985865724381624</v>
      </c>
      <c r="H4" s="9">
        <f t="shared" si="1"/>
        <v>7.9584775086505216E-2</v>
      </c>
      <c r="I4" s="9">
        <f t="shared" si="2"/>
        <v>0.91304347826086996</v>
      </c>
      <c r="J4" s="2" t="str">
        <f t="shared" si="3"/>
        <v>🚀 【買入/追擊】大鱷表態，補齊第 2 張單！</v>
      </c>
      <c r="K4" s="51">
        <v>2830</v>
      </c>
      <c r="L4" s="54"/>
    </row>
    <row r="5" spans="1:12" x14ac:dyDescent="0.35">
      <c r="A5" s="38">
        <v>46086</v>
      </c>
      <c r="B5" s="11">
        <f t="shared" si="4"/>
        <v>14.9</v>
      </c>
      <c r="C5" s="11">
        <v>16.350000000000001</v>
      </c>
      <c r="D5" s="11">
        <v>15</v>
      </c>
      <c r="E5" s="11">
        <v>16.2</v>
      </c>
      <c r="F5" s="8">
        <v>29500</v>
      </c>
      <c r="G5" s="2">
        <f t="shared" si="0"/>
        <v>8.6510263929618763</v>
      </c>
      <c r="H5" s="9">
        <f t="shared" si="1"/>
        <v>9.0604026845637675E-2</v>
      </c>
      <c r="I5" s="9">
        <f t="shared" si="2"/>
        <v>0.8888888888888874</v>
      </c>
      <c r="J5" s="2" t="str">
        <f t="shared" si="3"/>
        <v>🚀 【買入/追擊】大鱷表態，補齊第 2 張單！</v>
      </c>
      <c r="K5" s="51">
        <v>3410</v>
      </c>
      <c r="L5" s="54"/>
    </row>
    <row r="6" spans="1:12" x14ac:dyDescent="0.35">
      <c r="A6" s="38">
        <v>46087</v>
      </c>
      <c r="B6" s="11">
        <f t="shared" si="4"/>
        <v>16.2</v>
      </c>
      <c r="C6" s="11">
        <v>17.8</v>
      </c>
      <c r="D6" s="11">
        <v>16.350000000000001</v>
      </c>
      <c r="E6" s="11">
        <v>17.8</v>
      </c>
      <c r="F6" s="8">
        <v>37540</v>
      </c>
      <c r="G6" s="2">
        <f t="shared" si="0"/>
        <v>9.0457831325301203</v>
      </c>
      <c r="H6" s="9">
        <f t="shared" si="1"/>
        <v>8.9506172839506126E-2</v>
      </c>
      <c r="I6" s="9">
        <f t="shared" si="2"/>
        <v>1</v>
      </c>
      <c r="J6" s="2" t="str">
        <f t="shared" si="3"/>
        <v>🚀 【買入/追擊】大鱷表態，補齊第 2 張單！</v>
      </c>
      <c r="K6" s="51">
        <v>4150</v>
      </c>
      <c r="L6" s="54"/>
    </row>
    <row r="7" spans="1:12" x14ac:dyDescent="0.35">
      <c r="A7" s="38">
        <v>46090</v>
      </c>
      <c r="B7" s="11">
        <f t="shared" si="4"/>
        <v>17.8</v>
      </c>
      <c r="C7" s="11">
        <v>17.5</v>
      </c>
      <c r="D7" s="11">
        <v>16</v>
      </c>
      <c r="E7" s="11">
        <v>17.100000000000001</v>
      </c>
      <c r="F7" s="8">
        <v>36340</v>
      </c>
      <c r="G7" s="2">
        <f t="shared" si="0"/>
        <v>7.462012320328542</v>
      </c>
      <c r="H7" s="9">
        <f t="shared" si="1"/>
        <v>8.4269662921348312E-2</v>
      </c>
      <c r="I7" s="9">
        <f t="shared" si="2"/>
        <v>0.73333333333333428</v>
      </c>
      <c r="J7" s="2" t="str">
        <f t="shared" si="3"/>
        <v>🚀 【買入/追擊】大鱷表態，補齊第 2 張單！</v>
      </c>
      <c r="K7" s="51">
        <v>4870</v>
      </c>
      <c r="L7" s="55"/>
    </row>
    <row r="8" spans="1:12" x14ac:dyDescent="0.35">
      <c r="A8" s="38"/>
      <c r="B8" s="11">
        <f t="shared" si="4"/>
        <v>17.100000000000001</v>
      </c>
      <c r="C8" s="11"/>
      <c r="D8" s="11"/>
      <c r="E8" s="11"/>
      <c r="F8" s="8"/>
      <c r="G8" s="2" t="e">
        <f t="shared" si="0"/>
        <v>#DIV/0!</v>
      </c>
      <c r="H8" s="9">
        <f t="shared" si="1"/>
        <v>0</v>
      </c>
      <c r="I8" s="9">
        <f t="shared" si="2"/>
        <v>0.5</v>
      </c>
      <c r="J8" s="2" t="e">
        <f t="shared" si="3"/>
        <v>#DIV/0!</v>
      </c>
      <c r="K8" s="51"/>
      <c r="L8" s="54"/>
    </row>
    <row r="9" spans="1:12" x14ac:dyDescent="0.35">
      <c r="A9" s="38"/>
      <c r="B9" s="11">
        <f t="shared" si="4"/>
        <v>0</v>
      </c>
      <c r="C9" s="11"/>
      <c r="D9" s="11"/>
      <c r="E9" s="11"/>
      <c r="F9" s="8"/>
      <c r="G9" s="2" t="e">
        <f t="shared" si="0"/>
        <v>#DIV/0!</v>
      </c>
      <c r="H9" s="9" t="e">
        <f t="shared" si="1"/>
        <v>#DIV/0!</v>
      </c>
      <c r="I9" s="9">
        <f t="shared" si="2"/>
        <v>0.5</v>
      </c>
      <c r="J9" s="2" t="e">
        <f t="shared" si="3"/>
        <v>#DIV/0!</v>
      </c>
      <c r="K9" s="51"/>
      <c r="L9" s="54"/>
    </row>
    <row r="10" spans="1:12" x14ac:dyDescent="0.35">
      <c r="A10" s="38"/>
      <c r="B10" s="11">
        <f t="shared" si="4"/>
        <v>0</v>
      </c>
      <c r="C10" s="11"/>
      <c r="D10" s="11"/>
      <c r="E10" s="11"/>
      <c r="F10" s="8"/>
      <c r="G10" s="2" t="e">
        <f t="shared" si="0"/>
        <v>#DIV/0!</v>
      </c>
      <c r="H10" s="9" t="e">
        <f t="shared" si="1"/>
        <v>#DIV/0!</v>
      </c>
      <c r="I10" s="9">
        <f t="shared" si="2"/>
        <v>0.5</v>
      </c>
      <c r="J10" s="2" t="e">
        <f t="shared" si="3"/>
        <v>#DIV/0!</v>
      </c>
      <c r="K10" s="51"/>
      <c r="L10" s="54"/>
    </row>
    <row r="11" spans="1:12" x14ac:dyDescent="0.35">
      <c r="A11" s="38"/>
      <c r="B11" s="11">
        <f t="shared" si="4"/>
        <v>0</v>
      </c>
      <c r="C11" s="11"/>
      <c r="D11" s="11"/>
      <c r="E11" s="11"/>
      <c r="F11" s="8"/>
      <c r="G11" s="2" t="e">
        <f t="shared" si="0"/>
        <v>#DIV/0!</v>
      </c>
      <c r="H11" s="9" t="e">
        <f t="shared" si="1"/>
        <v>#DIV/0!</v>
      </c>
      <c r="I11" s="9">
        <f t="shared" si="2"/>
        <v>0.5</v>
      </c>
      <c r="J11" s="2" t="e">
        <f t="shared" si="3"/>
        <v>#DIV/0!</v>
      </c>
      <c r="K11" s="51"/>
      <c r="L11" s="54"/>
    </row>
    <row r="12" spans="1:12" ht="16" thickBot="1" x14ac:dyDescent="0.4">
      <c r="A12" s="39"/>
      <c r="B12" s="12">
        <f t="shared" si="4"/>
        <v>0</v>
      </c>
      <c r="C12" s="12"/>
      <c r="D12" s="12"/>
      <c r="E12" s="12"/>
      <c r="F12" s="13"/>
      <c r="G12" s="10" t="e">
        <f t="shared" si="0"/>
        <v>#DIV/0!</v>
      </c>
      <c r="H12" s="14" t="e">
        <f t="shared" si="1"/>
        <v>#DIV/0!</v>
      </c>
      <c r="I12" s="14">
        <f t="shared" si="2"/>
        <v>0.5</v>
      </c>
      <c r="J12" s="10" t="e">
        <f t="shared" si="3"/>
        <v>#DIV/0!</v>
      </c>
      <c r="K12" s="52"/>
      <c r="L12" s="56"/>
    </row>
  </sheetData>
  <phoneticPr fontId="2" type="noConversion"/>
  <conditionalFormatting sqref="J2:J1048576">
    <cfRule type="containsText" dxfId="22" priority="7" operator="containsText" text="觀望">
      <formula>NOT(ISERROR(SEARCH("觀望",J2)))</formula>
    </cfRule>
    <cfRule type="containsText" dxfId="21" priority="8" operator="containsText" text="撤離">
      <formula>NOT(ISERROR(SEARCH("撤離",J2)))</formula>
    </cfRule>
    <cfRule type="containsText" dxfId="20" priority="9" operator="containsText" text="監控">
      <formula>NOT(ISERROR(SEARCH("監控",J2)))</formula>
    </cfRule>
    <cfRule type="containsText" dxfId="19" priority="10" operator="containsText" text="潛伏">
      <formula>NOT(ISERROR(SEARCH("潛伏",J2)))</formula>
    </cfRule>
    <cfRule type="containsText" dxfId="18" priority="11" operator="containsText" text="追擊">
      <formula>NOT(ISERROR(SEARCH("追擊",J2)))</formula>
    </cfRule>
  </conditionalFormatting>
  <conditionalFormatting sqref="J1">
    <cfRule type="containsText" dxfId="7" priority="2" operator="containsText" text="觀望">
      <formula>NOT(ISERROR(SEARCH("觀望",J1)))</formula>
    </cfRule>
    <cfRule type="containsText" dxfId="6" priority="3" operator="containsText" text="撤離">
      <formula>NOT(ISERROR(SEARCH("撤離",J1)))</formula>
    </cfRule>
    <cfRule type="containsText" dxfId="5" priority="4" operator="containsText" text="監控">
      <formula>NOT(ISERROR(SEARCH("監控",J1)))</formula>
    </cfRule>
    <cfRule type="containsText" dxfId="4" priority="5" operator="containsText" text="潛伏">
      <formula>NOT(ISERROR(SEARCH("潛伏",J1)))</formula>
    </cfRule>
    <cfRule type="containsText" dxfId="3" priority="6" operator="containsText" text="追擊">
      <formula>NOT(ISERROR(SEARCH("追擊",J1)))</formula>
    </cfRule>
  </conditionalFormatting>
  <conditionalFormatting sqref="L1">
    <cfRule type="containsText" dxfId="0" priority="1" operator="containsText" text="觀望">
      <formula>NOT(ISERROR(SEARCH("觀望",L1)))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核心感測指標數據</vt:lpstr>
      <vt:lpstr>4533協易機</vt:lpstr>
      <vt:lpstr>3706神達</vt:lpstr>
      <vt:lpstr>6133金橋</vt:lpstr>
      <vt:lpstr>4960誠美材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泰宇 陳</dc:creator>
  <cp:lastModifiedBy>泰宇 陳</cp:lastModifiedBy>
  <dcterms:created xsi:type="dcterms:W3CDTF">2026-03-08T11:58:55Z</dcterms:created>
  <dcterms:modified xsi:type="dcterms:W3CDTF">2026-03-09T07:46:03Z</dcterms:modified>
</cp:coreProperties>
</file>